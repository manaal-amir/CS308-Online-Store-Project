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duct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<sst xmlns="http://schemas.openxmlformats.org/spreadsheetml/2006/main" count="231" uniqueCount="137">
  <si>
    <t xml:space="preserve">Catalog #</t>
  </si>
  <si>
    <t xml:space="preserve">Category</t>
  </si>
  <si>
    <t xml:space="preserve">Genre</t>
  </si>
  <si>
    <t xml:space="preserve">Product / Album</t>
  </si>
  <si>
    <t xml:space="preserve">Artist</t>
  </si>
  <si>
    <t xml:space="preserve">Price (TL)</t>
  </si>
  <si>
    <t xml:space="preserve">Stock</t>
  </si>
  <si>
    <t xml:space="preserve">In Stock?</t>
  </si>
  <si>
    <t xml:space="preserve">VS-LP-001</t>
  </si>
  <si>
    <t xml:space="preserve">Vinyl</t>
  </si>
  <si>
    <t xml:space="preserve">Jazz</t>
  </si>
  <si>
    <t xml:space="preserve">In the Wee Small Hours</t>
  </si>
  <si>
    <t xml:space="preserve">Frank Sinatra</t>
  </si>
  <si>
    <t xml:space="preserve">VS-LP-002</t>
  </si>
  <si>
    <t xml:space="preserve">Come Fly with Me</t>
  </si>
  <si>
    <t xml:space="preserve">VS-LP-003</t>
  </si>
  <si>
    <t xml:space="preserve">Satch Plays Fats</t>
  </si>
  <si>
    <t xml:space="preserve">Louis Armstrong</t>
  </si>
  <si>
    <t xml:space="preserve">VS-LP-004</t>
  </si>
  <si>
    <t xml:space="preserve">Hello, Dolly!</t>
  </si>
  <si>
    <t xml:space="preserve">VS-LP-005</t>
  </si>
  <si>
    <t xml:space="preserve">Bewitched</t>
  </si>
  <si>
    <t xml:space="preserve">Laufey</t>
  </si>
  <si>
    <t xml:space="preserve">VS-LP-006</t>
  </si>
  <si>
    <t xml:space="preserve">A Matter of Time</t>
  </si>
  <si>
    <t xml:space="preserve">VS-LP-007</t>
  </si>
  <si>
    <t xml:space="preserve">Rock</t>
  </si>
  <si>
    <t xml:space="preserve">L.A. Woman</t>
  </si>
  <si>
    <t xml:space="preserve">The Doors</t>
  </si>
  <si>
    <t xml:space="preserve">VS-LP-008</t>
  </si>
  <si>
    <t xml:space="preserve">Morrison Hotel</t>
  </si>
  <si>
    <t xml:space="preserve">VS-LP-009</t>
  </si>
  <si>
    <t xml:space="preserve">Sheer Heart Attack</t>
  </si>
  <si>
    <t xml:space="preserve">Queen</t>
  </si>
  <si>
    <t xml:space="preserve">VS-LP-010</t>
  </si>
  <si>
    <t xml:space="preserve">Innuendo</t>
  </si>
  <si>
    <t xml:space="preserve">VS-LP-011</t>
  </si>
  <si>
    <t xml:space="preserve">Led Zeppelin IV</t>
  </si>
  <si>
    <t xml:space="preserve">Led Zeppelin</t>
  </si>
  <si>
    <t xml:space="preserve">VS-LP-012</t>
  </si>
  <si>
    <t xml:space="preserve">Led Zeppelin II</t>
  </si>
  <si>
    <t xml:space="preserve">VS-LP-013</t>
  </si>
  <si>
    <t xml:space="preserve">Elvis Is Back!</t>
  </si>
  <si>
    <t xml:space="preserve">Elvis Presley</t>
  </si>
  <si>
    <t xml:space="preserve">VS-LP-014</t>
  </si>
  <si>
    <t xml:space="preserve">How Great Thou Art</t>
  </si>
  <si>
    <t xml:space="preserve">VS-LP-015</t>
  </si>
  <si>
    <t xml:space="preserve">The Dark Side of the Moon</t>
  </si>
  <si>
    <t xml:space="preserve">Pink Floyd</t>
  </si>
  <si>
    <t xml:space="preserve">VS-LP-016</t>
  </si>
  <si>
    <t xml:space="preserve">The Wall</t>
  </si>
  <si>
    <t xml:space="preserve">VS-LP-017</t>
  </si>
  <si>
    <t xml:space="preserve">Pop</t>
  </si>
  <si>
    <t xml:space="preserve">1989</t>
  </si>
  <si>
    <t xml:space="preserve">Taylor Swift</t>
  </si>
  <si>
    <t xml:space="preserve">VS-LP-018</t>
  </si>
  <si>
    <t xml:space="preserve">Folklore</t>
  </si>
  <si>
    <t xml:space="preserve">VS-LP-019</t>
  </si>
  <si>
    <t xml:space="preserve">After Hours</t>
  </si>
  <si>
    <t xml:space="preserve">The Weeknd</t>
  </si>
  <si>
    <t xml:space="preserve">VS-LP-020</t>
  </si>
  <si>
    <t xml:space="preserve">Starboy</t>
  </si>
  <si>
    <t xml:space="preserve">VS-LP-021</t>
  </si>
  <si>
    <t xml:space="preserve">The Rise and Fall of a Midwest Princess</t>
  </si>
  <si>
    <t xml:space="preserve">Chappell Roan</t>
  </si>
  <si>
    <t xml:space="preserve">VS-LP-022</t>
  </si>
  <si>
    <t xml:space="preserve">Classical</t>
  </si>
  <si>
    <t xml:space="preserve">Beethoven: The 9 Symphonies (Karajan, 1962–1963)</t>
  </si>
  <si>
    <t xml:space="preserve">Beethoven</t>
  </si>
  <si>
    <t xml:space="preserve">VS-LP-023</t>
  </si>
  <si>
    <t xml:space="preserve">The Nutcracker, Op. 71</t>
  </si>
  <si>
    <t xml:space="preserve">Tchaikovsky</t>
  </si>
  <si>
    <t xml:space="preserve">VS-LP-024</t>
  </si>
  <si>
    <t xml:space="preserve">Swan Lake, Op. 20</t>
  </si>
  <si>
    <t xml:space="preserve">VS-LP-025</t>
  </si>
  <si>
    <t xml:space="preserve">The Sleeping Beauty, Op. 66</t>
  </si>
  <si>
    <t xml:space="preserve">VS-LP-026</t>
  </si>
  <si>
    <t xml:space="preserve">The Four Seasons (Nigel Kennedy &amp; English Chamber Orchestra)</t>
  </si>
  <si>
    <t xml:space="preserve">Vivaldi</t>
  </si>
  <si>
    <t xml:space="preserve">VS-LP-027</t>
  </si>
  <si>
    <t xml:space="preserve">The Four Seasons (Trevor Pinnock &amp; The English Concert)</t>
  </si>
  <si>
    <t xml:space="preserve">VS-LP-028</t>
  </si>
  <si>
    <t xml:space="preserve">Hip-Hop/Rap</t>
  </si>
  <si>
    <t xml:space="preserve">The Eminem Show</t>
  </si>
  <si>
    <t xml:space="preserve">Eminem</t>
  </si>
  <si>
    <t xml:space="preserve">VS-LP-029</t>
  </si>
  <si>
    <t xml:space="preserve">The Marshall Mathers LP</t>
  </si>
  <si>
    <t xml:space="preserve">VS-LP-030</t>
  </si>
  <si>
    <t xml:space="preserve">Take Care</t>
  </si>
  <si>
    <t xml:space="preserve">Drake</t>
  </si>
  <si>
    <t xml:space="preserve">VS-LP-031</t>
  </si>
  <si>
    <t xml:space="preserve">Nothing Was the Same</t>
  </si>
  <si>
    <t xml:space="preserve">VS-LP-032</t>
  </si>
  <si>
    <t xml:space="preserve">good kid, m.A.A.d city</t>
  </si>
  <si>
    <t xml:space="preserve">Kendrick Lamar</t>
  </si>
  <si>
    <t xml:space="preserve">VS-LP-033</t>
  </si>
  <si>
    <t xml:space="preserve">DAMN.</t>
  </si>
  <si>
    <t xml:space="preserve">VS-LP-034</t>
  </si>
  <si>
    <t xml:space="preserve">Electronic</t>
  </si>
  <si>
    <t xml:space="preserve">Discovery</t>
  </si>
  <si>
    <t xml:space="preserve">Daft Punk</t>
  </si>
  <si>
    <t xml:space="preserve">VS-LP-035</t>
  </si>
  <si>
    <t xml:space="preserve">Random Access Memories</t>
  </si>
  <si>
    <t xml:space="preserve">VS-LP-036</t>
  </si>
  <si>
    <t xml:space="preserve">Dig Your Own Hole</t>
  </si>
  <si>
    <t xml:space="preserve">The Chemical Brothers</t>
  </si>
  <si>
    <t xml:space="preserve">VS-LP-037</t>
  </si>
  <si>
    <t xml:space="preserve">Surrender</t>
  </si>
  <si>
    <t xml:space="preserve">VS-LP-038</t>
  </si>
  <si>
    <t xml:space="preserve">Homogenic</t>
  </si>
  <si>
    <t xml:space="preserve">Björk</t>
  </si>
  <si>
    <t xml:space="preserve">VS-LP-039</t>
  </si>
  <si>
    <t xml:space="preserve">Post</t>
  </si>
  <si>
    <t xml:space="preserve">VS-TT-001</t>
  </si>
  <si>
    <t xml:space="preserve">Record Player</t>
  </si>
  <si>
    <t xml:space="preserve">Classic Belt-Drive Turntable</t>
  </si>
  <si>
    <t xml:space="preserve">VS-TT-002</t>
  </si>
  <si>
    <t xml:space="preserve">Bluetooth Turntable</t>
  </si>
  <si>
    <t xml:space="preserve">VS-TT-003</t>
  </si>
  <si>
    <t xml:space="preserve">Direct-Drive DJ Turntable</t>
  </si>
  <si>
    <t xml:space="preserve">VS-AC-001</t>
  </si>
  <si>
    <t xml:space="preserve">Accessory</t>
  </si>
  <si>
    <t xml:space="preserve">Record Cleaning Kit</t>
  </si>
  <si>
    <t xml:space="preserve">VS-AC-002</t>
  </si>
  <si>
    <t xml:space="preserve">Anti-Static Inner Sleeves (50 pack)</t>
  </si>
  <si>
    <t xml:space="preserve">VS-AC-003</t>
  </si>
  <si>
    <t xml:space="preserve">Replacement Stylus</t>
  </si>
  <si>
    <t xml:space="preserve">Summary</t>
  </si>
  <si>
    <t xml:space="preserve">Total products</t>
  </si>
  <si>
    <t xml:space="preserve">Vinyl records</t>
  </si>
  <si>
    <t xml:space="preserve">Record players</t>
  </si>
  <si>
    <t xml:space="preserve">Accessories</t>
  </si>
  <si>
    <t xml:space="preserve">Out of stock</t>
  </si>
  <si>
    <t xml:space="preserve">Total units in stock</t>
  </si>
  <si>
    <t xml:space="preserve">Lowest price (TL)</t>
  </si>
  <si>
    <t xml:space="preserve">Highest price (TL)</t>
  </si>
  <si>
    <t xml:space="preserve">Source: seed.js product data (VS-04). Images not set yet (imageUrl: null).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</si>
</sst>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ducts" displayName="Products" ref="A1:H46" headerRowCount="1" totalsRowCount="0" totalsRowShown="0">
  <autoFilter ref="A1:H46"/>
  <tableColumns count="8">
    <tableColumn id="1" name="Catalog #"/>
    <tableColumn id="2" name="Category"/>
    <tableColumn id="3" name="Genre"/>
    <tableColumn id="4" name="Product / Album"/>
    <tableColumn id="5" name="Artist"/>
    <tableColumn id="6" name="Price (TL)"/>
    <tableColumn id="7" name="Stock"/>
    <tableColumn id="8" name="In Stock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n">
        <v>1450</v>
      </c>
      <c r="G2" s="4" t="n">
        <v>12</v>
      </c>
      <c r="H2" s="4" t="str">
        <f aca="false">IF(G2&gt;0,"Yes","No")</f>
        <v>Yes</v>
      </c>
    </row>
    <row r="3" customFormat="false" ht="15" hidden="false" customHeight="false" outlineLevel="0" collapsed="false">
      <c r="A3" s="2" t="s">
        <v>13</v>
      </c>
      <c r="B3" s="2" t="s">
        <v>9</v>
      </c>
      <c r="C3" s="2" t="s">
        <v>10</v>
      </c>
      <c r="D3" s="2" t="s">
        <v>14</v>
      </c>
      <c r="E3" s="2" t="s">
        <v>12</v>
      </c>
      <c r="F3" s="3" t="n">
        <v>1350</v>
      </c>
      <c r="G3" s="4" t="n">
        <v>9</v>
      </c>
      <c r="H3" s="4" t="str">
        <f aca="false">IF(G3&gt;0,"Yes","No")</f>
        <v>Yes</v>
      </c>
    </row>
    <row r="4" customFormat="false" ht="15" hidden="false" customHeight="false" outlineLevel="0" collapsed="false">
      <c r="A4" s="2" t="s">
        <v>15</v>
      </c>
      <c r="B4" s="2" t="s">
        <v>9</v>
      </c>
      <c r="C4" s="2" t="s">
        <v>10</v>
      </c>
      <c r="D4" s="2" t="s">
        <v>16</v>
      </c>
      <c r="E4" s="2" t="s">
        <v>17</v>
      </c>
      <c r="F4" s="3" t="n">
        <v>1250</v>
      </c>
      <c r="G4" s="4" t="n">
        <v>6</v>
      </c>
      <c r="H4" s="4" t="str">
        <f aca="false">IF(G4&gt;0,"Yes","No")</f>
        <v>Yes</v>
      </c>
    </row>
    <row r="5" customFormat="false" ht="15" hidden="false" customHeight="false" outlineLevel="0" collapsed="false">
      <c r="A5" s="2" t="s">
        <v>18</v>
      </c>
      <c r="B5" s="2" t="s">
        <v>9</v>
      </c>
      <c r="C5" s="2" t="s">
        <v>10</v>
      </c>
      <c r="D5" s="2" t="s">
        <v>19</v>
      </c>
      <c r="E5" s="2" t="s">
        <v>17</v>
      </c>
      <c r="F5" s="3" t="n">
        <v>1150</v>
      </c>
      <c r="G5" s="4" t="n">
        <v>0</v>
      </c>
      <c r="H5" s="4" t="str">
        <f aca="false">IF(G5&gt;0,"Yes","No")</f>
        <v>No</v>
      </c>
    </row>
    <row r="6" customFormat="false" ht="15" hidden="false" customHeight="false" outlineLevel="0" collapsed="false">
      <c r="A6" s="2" t="s">
        <v>20</v>
      </c>
      <c r="B6" s="2" t="s">
        <v>9</v>
      </c>
      <c r="C6" s="2" t="s">
        <v>10</v>
      </c>
      <c r="D6" s="2" t="s">
        <v>21</v>
      </c>
      <c r="E6" s="2" t="s">
        <v>22</v>
      </c>
      <c r="F6" s="3" t="n">
        <v>1890</v>
      </c>
      <c r="G6" s="4" t="n">
        <v>15</v>
      </c>
      <c r="H6" s="4" t="str">
        <f aca="false">IF(G6&gt;0,"Yes","No")</f>
        <v>Yes</v>
      </c>
    </row>
    <row r="7" customFormat="false" ht="15" hidden="false" customHeight="false" outlineLevel="0" collapsed="false">
      <c r="A7" s="2" t="s">
        <v>23</v>
      </c>
      <c r="B7" s="2" t="s">
        <v>9</v>
      </c>
      <c r="C7" s="2" t="s">
        <v>10</v>
      </c>
      <c r="D7" s="2" t="s">
        <v>24</v>
      </c>
      <c r="E7" s="2" t="s">
        <v>22</v>
      </c>
      <c r="F7" s="3" t="n">
        <v>2150</v>
      </c>
      <c r="G7" s="4" t="n">
        <v>14</v>
      </c>
      <c r="H7" s="4" t="str">
        <f aca="false">IF(G7&gt;0,"Yes","No")</f>
        <v>Yes</v>
      </c>
    </row>
    <row r="8" customFormat="false" ht="15" hidden="false" customHeight="false" outlineLevel="0" collapsed="false">
      <c r="A8" s="2" t="s">
        <v>25</v>
      </c>
      <c r="B8" s="2" t="s">
        <v>9</v>
      </c>
      <c r="C8" s="2" t="s">
        <v>26</v>
      </c>
      <c r="D8" s="2" t="s">
        <v>27</v>
      </c>
      <c r="E8" s="2" t="s">
        <v>28</v>
      </c>
      <c r="F8" s="3" t="n">
        <v>1650</v>
      </c>
      <c r="G8" s="4" t="n">
        <v>8</v>
      </c>
      <c r="H8" s="4" t="str">
        <f aca="false">IF(G8&gt;0,"Yes","No")</f>
        <v>Yes</v>
      </c>
    </row>
    <row r="9" customFormat="false" ht="15" hidden="false" customHeight="false" outlineLevel="0" collapsed="false">
      <c r="A9" s="2" t="s">
        <v>29</v>
      </c>
      <c r="B9" s="2" t="s">
        <v>9</v>
      </c>
      <c r="C9" s="2" t="s">
        <v>26</v>
      </c>
      <c r="D9" s="2" t="s">
        <v>30</v>
      </c>
      <c r="E9" s="2" t="s">
        <v>28</v>
      </c>
      <c r="F9" s="3" t="n">
        <v>1550</v>
      </c>
      <c r="G9" s="4" t="n">
        <v>7</v>
      </c>
      <c r="H9" s="4" t="str">
        <f aca="false">IF(G9&gt;0,"Yes","No")</f>
        <v>Yes</v>
      </c>
    </row>
    <row r="10" customFormat="false" ht="15" hidden="false" customHeight="false" outlineLevel="0" collapsed="false">
      <c r="A10" s="2" t="s">
        <v>31</v>
      </c>
      <c r="B10" s="2" t="s">
        <v>9</v>
      </c>
      <c r="C10" s="2" t="s">
        <v>26</v>
      </c>
      <c r="D10" s="2" t="s">
        <v>32</v>
      </c>
      <c r="E10" s="2" t="s">
        <v>33</v>
      </c>
      <c r="F10" s="3" t="n">
        <v>1750</v>
      </c>
      <c r="G10" s="4" t="n">
        <v>10</v>
      </c>
      <c r="H10" s="4" t="str">
        <f aca="false">IF(G10&gt;0,"Yes","No")</f>
        <v>Yes</v>
      </c>
    </row>
    <row r="11" customFormat="false" ht="15" hidden="false" customHeight="false" outlineLevel="0" collapsed="false">
      <c r="A11" s="2" t="s">
        <v>34</v>
      </c>
      <c r="B11" s="2" t="s">
        <v>9</v>
      </c>
      <c r="C11" s="2" t="s">
        <v>26</v>
      </c>
      <c r="D11" s="2" t="s">
        <v>35</v>
      </c>
      <c r="E11" s="2" t="s">
        <v>33</v>
      </c>
      <c r="F11" s="3" t="n">
        <v>1850</v>
      </c>
      <c r="G11" s="4" t="n">
        <v>6</v>
      </c>
      <c r="H11" s="4" t="str">
        <f aca="false">IF(G11&gt;0,"Yes","No")</f>
        <v>Yes</v>
      </c>
    </row>
    <row r="12" customFormat="false" ht="15" hidden="false" customHeight="false" outlineLevel="0" collapsed="false">
      <c r="A12" s="2" t="s">
        <v>36</v>
      </c>
      <c r="B12" s="2" t="s">
        <v>9</v>
      </c>
      <c r="C12" s="2" t="s">
        <v>26</v>
      </c>
      <c r="D12" s="2" t="s">
        <v>37</v>
      </c>
      <c r="E12" s="2" t="s">
        <v>38</v>
      </c>
      <c r="F12" s="3" t="n">
        <v>1990</v>
      </c>
      <c r="G12" s="4" t="n">
        <v>13</v>
      </c>
      <c r="H12" s="4" t="str">
        <f aca="false">IF(G12&gt;0,"Yes","No")</f>
        <v>Yes</v>
      </c>
    </row>
    <row r="13" customFormat="false" ht="15" hidden="false" customHeight="false" outlineLevel="0" collapsed="false">
      <c r="A13" s="2" t="s">
        <v>39</v>
      </c>
      <c r="B13" s="2" t="s">
        <v>9</v>
      </c>
      <c r="C13" s="2" t="s">
        <v>26</v>
      </c>
      <c r="D13" s="2" t="s">
        <v>40</v>
      </c>
      <c r="E13" s="2" t="s">
        <v>38</v>
      </c>
      <c r="F13" s="3" t="n">
        <v>1890</v>
      </c>
      <c r="G13" s="4" t="n">
        <v>9</v>
      </c>
      <c r="H13" s="4" t="str">
        <f aca="false">IF(G13&gt;0,"Yes","No")</f>
        <v>Yes</v>
      </c>
    </row>
    <row r="14" customFormat="false" ht="15" hidden="false" customHeight="false" outlineLevel="0" collapsed="false">
      <c r="A14" s="2" t="s">
        <v>41</v>
      </c>
      <c r="B14" s="2" t="s">
        <v>9</v>
      </c>
      <c r="C14" s="2" t="s">
        <v>26</v>
      </c>
      <c r="D14" s="2" t="s">
        <v>42</v>
      </c>
      <c r="E14" s="2" t="s">
        <v>43</v>
      </c>
      <c r="F14" s="3" t="n">
        <v>1290</v>
      </c>
      <c r="G14" s="4" t="n">
        <v>5</v>
      </c>
      <c r="H14" s="4" t="str">
        <f aca="false">IF(G14&gt;0,"Yes","No")</f>
        <v>Yes</v>
      </c>
    </row>
    <row r="15" customFormat="false" ht="15" hidden="false" customHeight="false" outlineLevel="0" collapsed="false">
      <c r="A15" s="2" t="s">
        <v>44</v>
      </c>
      <c r="B15" s="2" t="s">
        <v>9</v>
      </c>
      <c r="C15" s="2" t="s">
        <v>26</v>
      </c>
      <c r="D15" s="2" t="s">
        <v>45</v>
      </c>
      <c r="E15" s="2" t="s">
        <v>43</v>
      </c>
      <c r="F15" s="3" t="n">
        <v>1090</v>
      </c>
      <c r="G15" s="4" t="n">
        <v>4</v>
      </c>
      <c r="H15" s="4" t="str">
        <f aca="false">IF(G15&gt;0,"Yes","No")</f>
        <v>Yes</v>
      </c>
    </row>
    <row r="16" customFormat="false" ht="15" hidden="false" customHeight="false" outlineLevel="0" collapsed="false">
      <c r="A16" s="2" t="s">
        <v>46</v>
      </c>
      <c r="B16" s="2" t="s">
        <v>9</v>
      </c>
      <c r="C16" s="2" t="s">
        <v>26</v>
      </c>
      <c r="D16" s="2" t="s">
        <v>47</v>
      </c>
      <c r="E16" s="2" t="s">
        <v>48</v>
      </c>
      <c r="F16" s="3" t="n">
        <v>2290</v>
      </c>
      <c r="G16" s="4" t="n">
        <v>18</v>
      </c>
      <c r="H16" s="4" t="str">
        <f aca="false">IF(G16&gt;0,"Yes","No")</f>
        <v>Yes</v>
      </c>
    </row>
    <row r="17" customFormat="false" ht="15" hidden="false" customHeight="false" outlineLevel="0" collapsed="false">
      <c r="A17" s="2" t="s">
        <v>49</v>
      </c>
      <c r="B17" s="2" t="s">
        <v>9</v>
      </c>
      <c r="C17" s="2" t="s">
        <v>26</v>
      </c>
      <c r="D17" s="2" t="s">
        <v>50</v>
      </c>
      <c r="E17" s="2" t="s">
        <v>48</v>
      </c>
      <c r="F17" s="3" t="n">
        <v>3290</v>
      </c>
      <c r="G17" s="4" t="n">
        <v>7</v>
      </c>
      <c r="H17" s="4" t="str">
        <f aca="false">IF(G17&gt;0,"Yes","No")</f>
        <v>Yes</v>
      </c>
    </row>
    <row r="18" customFormat="false" ht="15" hidden="false" customHeight="false" outlineLevel="0" collapsed="false">
      <c r="A18" s="2" t="s">
        <v>51</v>
      </c>
      <c r="B18" s="2" t="s">
        <v>9</v>
      </c>
      <c r="C18" s="2" t="s">
        <v>52</v>
      </c>
      <c r="D18" s="2" t="s">
        <v>53</v>
      </c>
      <c r="E18" s="2" t="s">
        <v>54</v>
      </c>
      <c r="F18" s="3" t="n">
        <v>1990</v>
      </c>
      <c r="G18" s="4" t="n">
        <v>20</v>
      </c>
      <c r="H18" s="4" t="str">
        <f aca="false">IF(G18&gt;0,"Yes","No")</f>
        <v>Yes</v>
      </c>
    </row>
    <row r="19" customFormat="false" ht="15" hidden="false" customHeight="false" outlineLevel="0" collapsed="false">
      <c r="A19" s="2" t="s">
        <v>55</v>
      </c>
      <c r="B19" s="2" t="s">
        <v>9</v>
      </c>
      <c r="C19" s="2" t="s">
        <v>52</v>
      </c>
      <c r="D19" s="2" t="s">
        <v>56</v>
      </c>
      <c r="E19" s="2" t="s">
        <v>54</v>
      </c>
      <c r="F19" s="3" t="n">
        <v>2390</v>
      </c>
      <c r="G19" s="4" t="n">
        <v>16</v>
      </c>
      <c r="H19" s="4" t="str">
        <f aca="false">IF(G19&gt;0,"Yes","No")</f>
        <v>Yes</v>
      </c>
    </row>
    <row r="20" customFormat="false" ht="15" hidden="false" customHeight="false" outlineLevel="0" collapsed="false">
      <c r="A20" s="2" t="s">
        <v>57</v>
      </c>
      <c r="B20" s="2" t="s">
        <v>9</v>
      </c>
      <c r="C20" s="2" t="s">
        <v>52</v>
      </c>
      <c r="D20" s="2" t="s">
        <v>58</v>
      </c>
      <c r="E20" s="2" t="s">
        <v>59</v>
      </c>
      <c r="F20" s="3" t="n">
        <v>2190</v>
      </c>
      <c r="G20" s="4" t="n">
        <v>11</v>
      </c>
      <c r="H20" s="4" t="str">
        <f aca="false">IF(G20&gt;0,"Yes","No")</f>
        <v>Yes</v>
      </c>
    </row>
    <row r="21" customFormat="false" ht="15" hidden="false" customHeight="false" outlineLevel="0" collapsed="false">
      <c r="A21" s="2" t="s">
        <v>60</v>
      </c>
      <c r="B21" s="2" t="s">
        <v>9</v>
      </c>
      <c r="C21" s="2" t="s">
        <v>52</v>
      </c>
      <c r="D21" s="2" t="s">
        <v>61</v>
      </c>
      <c r="E21" s="2" t="s">
        <v>59</v>
      </c>
      <c r="F21" s="3" t="n">
        <v>2290</v>
      </c>
      <c r="G21" s="4" t="n">
        <v>10</v>
      </c>
      <c r="H21" s="4" t="str">
        <f aca="false">IF(G21&gt;0,"Yes","No")</f>
        <v>Yes</v>
      </c>
    </row>
    <row r="22" customFormat="false" ht="15" hidden="false" customHeight="false" outlineLevel="0" collapsed="false">
      <c r="A22" s="2" t="s">
        <v>62</v>
      </c>
      <c r="B22" s="2" t="s">
        <v>9</v>
      </c>
      <c r="C22" s="2" t="s">
        <v>52</v>
      </c>
      <c r="D22" s="2" t="s">
        <v>63</v>
      </c>
      <c r="E22" s="2" t="s">
        <v>64</v>
      </c>
      <c r="F22" s="3" t="n">
        <v>2490</v>
      </c>
      <c r="G22" s="4" t="n">
        <v>17</v>
      </c>
      <c r="H22" s="4" t="str">
        <f aca="false">IF(G22&gt;0,"Yes","No")</f>
        <v>Yes</v>
      </c>
    </row>
    <row r="23" customFormat="false" ht="15" hidden="false" customHeight="false" outlineLevel="0" collapsed="false">
      <c r="A23" s="2" t="s">
        <v>65</v>
      </c>
      <c r="B23" s="2" t="s">
        <v>9</v>
      </c>
      <c r="C23" s="2" t="s">
        <v>66</v>
      </c>
      <c r="D23" s="2" t="s">
        <v>67</v>
      </c>
      <c r="E23" s="2" t="s">
        <v>68</v>
      </c>
      <c r="F23" s="3" t="n">
        <v>4890</v>
      </c>
      <c r="G23" s="4" t="n">
        <v>3</v>
      </c>
      <c r="H23" s="4" t="str">
        <f aca="false">IF(G23&gt;0,"Yes","No")</f>
        <v>Yes</v>
      </c>
    </row>
    <row r="24" customFormat="false" ht="15" hidden="false" customHeight="false" outlineLevel="0" collapsed="false">
      <c r="A24" s="2" t="s">
        <v>69</v>
      </c>
      <c r="B24" s="2" t="s">
        <v>9</v>
      </c>
      <c r="C24" s="2" t="s">
        <v>66</v>
      </c>
      <c r="D24" s="2" t="s">
        <v>70</v>
      </c>
      <c r="E24" s="2" t="s">
        <v>71</v>
      </c>
      <c r="F24" s="3" t="n">
        <v>1690</v>
      </c>
      <c r="G24" s="4" t="n">
        <v>8</v>
      </c>
      <c r="H24" s="4" t="str">
        <f aca="false">IF(G24&gt;0,"Yes","No")</f>
        <v>Yes</v>
      </c>
    </row>
    <row r="25" customFormat="false" ht="15" hidden="false" customHeight="false" outlineLevel="0" collapsed="false">
      <c r="A25" s="2" t="s">
        <v>72</v>
      </c>
      <c r="B25" s="2" t="s">
        <v>9</v>
      </c>
      <c r="C25" s="2" t="s">
        <v>66</v>
      </c>
      <c r="D25" s="2" t="s">
        <v>73</v>
      </c>
      <c r="E25" s="2" t="s">
        <v>71</v>
      </c>
      <c r="F25" s="3" t="n">
        <v>1590</v>
      </c>
      <c r="G25" s="4" t="n">
        <v>7</v>
      </c>
      <c r="H25" s="4" t="str">
        <f aca="false">IF(G25&gt;0,"Yes","No")</f>
        <v>Yes</v>
      </c>
    </row>
    <row r="26" customFormat="false" ht="15" hidden="false" customHeight="false" outlineLevel="0" collapsed="false">
      <c r="A26" s="2" t="s">
        <v>74</v>
      </c>
      <c r="B26" s="2" t="s">
        <v>9</v>
      </c>
      <c r="C26" s="2" t="s">
        <v>66</v>
      </c>
      <c r="D26" s="2" t="s">
        <v>75</v>
      </c>
      <c r="E26" s="2" t="s">
        <v>71</v>
      </c>
      <c r="F26" s="3" t="n">
        <v>1590</v>
      </c>
      <c r="G26" s="4" t="n">
        <v>5</v>
      </c>
      <c r="H26" s="4" t="str">
        <f aca="false">IF(G26&gt;0,"Yes","No")</f>
        <v>Yes</v>
      </c>
    </row>
    <row r="27" customFormat="false" ht="15" hidden="false" customHeight="false" outlineLevel="0" collapsed="false">
      <c r="A27" s="2" t="s">
        <v>76</v>
      </c>
      <c r="B27" s="2" t="s">
        <v>9</v>
      </c>
      <c r="C27" s="2" t="s">
        <v>66</v>
      </c>
      <c r="D27" s="2" t="s">
        <v>77</v>
      </c>
      <c r="E27" s="2" t="s">
        <v>78</v>
      </c>
      <c r="F27" s="3" t="n">
        <v>1390</v>
      </c>
      <c r="G27" s="4" t="n">
        <v>9</v>
      </c>
      <c r="H27" s="4" t="str">
        <f aca="false">IF(G27&gt;0,"Yes","No")</f>
        <v>Yes</v>
      </c>
    </row>
    <row r="28" customFormat="false" ht="15" hidden="false" customHeight="false" outlineLevel="0" collapsed="false">
      <c r="A28" s="2" t="s">
        <v>79</v>
      </c>
      <c r="B28" s="2" t="s">
        <v>9</v>
      </c>
      <c r="C28" s="2" t="s">
        <v>66</v>
      </c>
      <c r="D28" s="2" t="s">
        <v>80</v>
      </c>
      <c r="E28" s="2" t="s">
        <v>78</v>
      </c>
      <c r="F28" s="3" t="n">
        <v>1490</v>
      </c>
      <c r="G28" s="4" t="n">
        <v>6</v>
      </c>
      <c r="H28" s="4" t="str">
        <f aca="false">IF(G28&gt;0,"Yes","No")</f>
        <v>Yes</v>
      </c>
    </row>
    <row r="29" customFormat="false" ht="15" hidden="false" customHeight="false" outlineLevel="0" collapsed="false">
      <c r="A29" s="2" t="s">
        <v>81</v>
      </c>
      <c r="B29" s="2" t="s">
        <v>9</v>
      </c>
      <c r="C29" s="2" t="s">
        <v>82</v>
      </c>
      <c r="D29" s="2" t="s">
        <v>83</v>
      </c>
      <c r="E29" s="2" t="s">
        <v>84</v>
      </c>
      <c r="F29" s="3" t="n">
        <v>2190</v>
      </c>
      <c r="G29" s="4" t="n">
        <v>12</v>
      </c>
      <c r="H29" s="4" t="str">
        <f aca="false">IF(G29&gt;0,"Yes","No")</f>
        <v>Yes</v>
      </c>
    </row>
    <row r="30" customFormat="false" ht="15" hidden="false" customHeight="false" outlineLevel="0" collapsed="false">
      <c r="A30" s="2" t="s">
        <v>85</v>
      </c>
      <c r="B30" s="2" t="s">
        <v>9</v>
      </c>
      <c r="C30" s="2" t="s">
        <v>82</v>
      </c>
      <c r="D30" s="2" t="s">
        <v>86</v>
      </c>
      <c r="E30" s="2" t="s">
        <v>84</v>
      </c>
      <c r="F30" s="3" t="n">
        <v>2090</v>
      </c>
      <c r="G30" s="4" t="n">
        <v>10</v>
      </c>
      <c r="H30" s="4" t="str">
        <f aca="false">IF(G30&gt;0,"Yes","No")</f>
        <v>Yes</v>
      </c>
    </row>
    <row r="31" customFormat="false" ht="15" hidden="false" customHeight="false" outlineLevel="0" collapsed="false">
      <c r="A31" s="2" t="s">
        <v>87</v>
      </c>
      <c r="B31" s="2" t="s">
        <v>9</v>
      </c>
      <c r="C31" s="2" t="s">
        <v>82</v>
      </c>
      <c r="D31" s="2" t="s">
        <v>88</v>
      </c>
      <c r="E31" s="2" t="s">
        <v>89</v>
      </c>
      <c r="F31" s="3" t="n">
        <v>2390</v>
      </c>
      <c r="G31" s="4" t="n">
        <v>11</v>
      </c>
      <c r="H31" s="4" t="str">
        <f aca="false">IF(G31&gt;0,"Yes","No")</f>
        <v>Yes</v>
      </c>
    </row>
    <row r="32" customFormat="false" ht="15" hidden="false" customHeight="false" outlineLevel="0" collapsed="false">
      <c r="A32" s="2" t="s">
        <v>90</v>
      </c>
      <c r="B32" s="2" t="s">
        <v>9</v>
      </c>
      <c r="C32" s="2" t="s">
        <v>82</v>
      </c>
      <c r="D32" s="2" t="s">
        <v>91</v>
      </c>
      <c r="E32" s="2" t="s">
        <v>89</v>
      </c>
      <c r="F32" s="3" t="n">
        <v>1990</v>
      </c>
      <c r="G32" s="4" t="n">
        <v>8</v>
      </c>
      <c r="H32" s="4" t="str">
        <f aca="false">IF(G32&gt;0,"Yes","No")</f>
        <v>Yes</v>
      </c>
    </row>
    <row r="33" customFormat="false" ht="15" hidden="false" customHeight="false" outlineLevel="0" collapsed="false">
      <c r="A33" s="2" t="s">
        <v>92</v>
      </c>
      <c r="B33" s="2" t="s">
        <v>9</v>
      </c>
      <c r="C33" s="2" t="s">
        <v>82</v>
      </c>
      <c r="D33" s="2" t="s">
        <v>93</v>
      </c>
      <c r="E33" s="2" t="s">
        <v>94</v>
      </c>
      <c r="F33" s="3" t="n">
        <v>2290</v>
      </c>
      <c r="G33" s="4" t="n">
        <v>13</v>
      </c>
      <c r="H33" s="4" t="str">
        <f aca="false">IF(G33&gt;0,"Yes","No")</f>
        <v>Yes</v>
      </c>
    </row>
    <row r="34" customFormat="false" ht="15" hidden="false" customHeight="false" outlineLevel="0" collapsed="false">
      <c r="A34" s="2" t="s">
        <v>95</v>
      </c>
      <c r="B34" s="2" t="s">
        <v>9</v>
      </c>
      <c r="C34" s="2" t="s">
        <v>82</v>
      </c>
      <c r="D34" s="2" t="s">
        <v>96</v>
      </c>
      <c r="E34" s="2" t="s">
        <v>94</v>
      </c>
      <c r="F34" s="3" t="n">
        <v>2090</v>
      </c>
      <c r="G34" s="4" t="n">
        <v>12</v>
      </c>
      <c r="H34" s="4" t="str">
        <f aca="false">IF(G34&gt;0,"Yes","No")</f>
        <v>Yes</v>
      </c>
    </row>
    <row r="35" customFormat="false" ht="15" hidden="false" customHeight="false" outlineLevel="0" collapsed="false">
      <c r="A35" s="2" t="s">
        <v>97</v>
      </c>
      <c r="B35" s="2" t="s">
        <v>9</v>
      </c>
      <c r="C35" s="2" t="s">
        <v>98</v>
      </c>
      <c r="D35" s="2" t="s">
        <v>99</v>
      </c>
      <c r="E35" s="2" t="s">
        <v>100</v>
      </c>
      <c r="F35" s="3" t="n">
        <v>2390</v>
      </c>
      <c r="G35" s="4" t="n">
        <v>14</v>
      </c>
      <c r="H35" s="4" t="str">
        <f aca="false">IF(G35&gt;0,"Yes","No")</f>
        <v>Yes</v>
      </c>
    </row>
    <row r="36" customFormat="false" ht="15" hidden="false" customHeight="false" outlineLevel="0" collapsed="false">
      <c r="A36" s="2" t="s">
        <v>101</v>
      </c>
      <c r="B36" s="2" t="s">
        <v>9</v>
      </c>
      <c r="C36" s="2" t="s">
        <v>98</v>
      </c>
      <c r="D36" s="2" t="s">
        <v>102</v>
      </c>
      <c r="E36" s="2" t="s">
        <v>100</v>
      </c>
      <c r="F36" s="3" t="n">
        <v>2690</v>
      </c>
      <c r="G36" s="4" t="n">
        <v>10</v>
      </c>
      <c r="H36" s="4" t="str">
        <f aca="false">IF(G36&gt;0,"Yes","No")</f>
        <v>Yes</v>
      </c>
    </row>
    <row r="37" customFormat="false" ht="15" hidden="false" customHeight="false" outlineLevel="0" collapsed="false">
      <c r="A37" s="2" t="s">
        <v>103</v>
      </c>
      <c r="B37" s="2" t="s">
        <v>9</v>
      </c>
      <c r="C37" s="2" t="s">
        <v>98</v>
      </c>
      <c r="D37" s="2" t="s">
        <v>104</v>
      </c>
      <c r="E37" s="2" t="s">
        <v>105</v>
      </c>
      <c r="F37" s="3" t="n">
        <v>1790</v>
      </c>
      <c r="G37" s="4" t="n">
        <v>6</v>
      </c>
      <c r="H37" s="4" t="str">
        <f aca="false">IF(G37&gt;0,"Yes","No")</f>
        <v>Yes</v>
      </c>
    </row>
    <row r="38" customFormat="false" ht="15" hidden="false" customHeight="false" outlineLevel="0" collapsed="false">
      <c r="A38" s="2" t="s">
        <v>106</v>
      </c>
      <c r="B38" s="2" t="s">
        <v>9</v>
      </c>
      <c r="C38" s="2" t="s">
        <v>98</v>
      </c>
      <c r="D38" s="2" t="s">
        <v>107</v>
      </c>
      <c r="E38" s="2" t="s">
        <v>105</v>
      </c>
      <c r="F38" s="3" t="n">
        <v>1790</v>
      </c>
      <c r="G38" s="4" t="n">
        <v>0</v>
      </c>
      <c r="H38" s="4" t="str">
        <f aca="false">IF(G38&gt;0,"Yes","No")</f>
        <v>No</v>
      </c>
    </row>
    <row r="39" customFormat="false" ht="15" hidden="false" customHeight="false" outlineLevel="0" collapsed="false">
      <c r="A39" s="2" t="s">
        <v>108</v>
      </c>
      <c r="B39" s="2" t="s">
        <v>9</v>
      </c>
      <c r="C39" s="2" t="s">
        <v>98</v>
      </c>
      <c r="D39" s="2" t="s">
        <v>109</v>
      </c>
      <c r="E39" s="2" t="s">
        <v>110</v>
      </c>
      <c r="F39" s="3" t="n">
        <v>1690</v>
      </c>
      <c r="G39" s="4" t="n">
        <v>7</v>
      </c>
      <c r="H39" s="4" t="str">
        <f aca="false">IF(G39&gt;0,"Yes","No")</f>
        <v>Yes</v>
      </c>
    </row>
    <row r="40" customFormat="false" ht="15" hidden="false" customHeight="false" outlineLevel="0" collapsed="false">
      <c r="A40" s="2" t="s">
        <v>111</v>
      </c>
      <c r="B40" s="2" t="s">
        <v>9</v>
      </c>
      <c r="C40" s="2" t="s">
        <v>98</v>
      </c>
      <c r="D40" s="2" t="s">
        <v>112</v>
      </c>
      <c r="E40" s="2" t="s">
        <v>110</v>
      </c>
      <c r="F40" s="3" t="n">
        <v>1690</v>
      </c>
      <c r="G40" s="4" t="n">
        <v>8</v>
      </c>
      <c r="H40" s="4" t="str">
        <f aca="false">IF(G40&gt;0,"Yes","No")</f>
        <v>Yes</v>
      </c>
    </row>
    <row r="41" customFormat="false" ht="15" hidden="false" customHeight="false" outlineLevel="0" collapsed="false">
      <c r="A41" s="2" t="s">
        <v>113</v>
      </c>
      <c r="B41" s="2" t="s">
        <v>114</v>
      </c>
      <c r="C41" s="2"/>
      <c r="D41" s="2" t="s">
        <v>115</v>
      </c>
      <c r="E41" s="2"/>
      <c r="F41" s="3" t="n">
        <v>8990</v>
      </c>
      <c r="G41" s="4" t="n">
        <v>6</v>
      </c>
      <c r="H41" s="4" t="str">
        <f aca="false">IF(G41&gt;0,"Yes","No")</f>
        <v>Yes</v>
      </c>
    </row>
    <row r="42" customFormat="false" ht="15" hidden="false" customHeight="false" outlineLevel="0" collapsed="false">
      <c r="A42" s="2" t="s">
        <v>116</v>
      </c>
      <c r="B42" s="2" t="s">
        <v>114</v>
      </c>
      <c r="C42" s="2"/>
      <c r="D42" s="2" t="s">
        <v>117</v>
      </c>
      <c r="E42" s="2"/>
      <c r="F42" s="3" t="n">
        <v>6490</v>
      </c>
      <c r="G42" s="4" t="n">
        <v>9</v>
      </c>
      <c r="H42" s="4" t="str">
        <f aca="false">IF(G42&gt;0,"Yes","No")</f>
        <v>Yes</v>
      </c>
    </row>
    <row r="43" customFormat="false" ht="15" hidden="false" customHeight="false" outlineLevel="0" collapsed="false">
      <c r="A43" s="2" t="s">
        <v>118</v>
      </c>
      <c r="B43" s="2" t="s">
        <v>114</v>
      </c>
      <c r="C43" s="2"/>
      <c r="D43" s="2" t="s">
        <v>119</v>
      </c>
      <c r="E43" s="2"/>
      <c r="F43" s="3" t="n">
        <v>14990</v>
      </c>
      <c r="G43" s="4" t="n">
        <v>3</v>
      </c>
      <c r="H43" s="4" t="str">
        <f aca="false">IF(G43&gt;0,"Yes","No")</f>
        <v>Yes</v>
      </c>
    </row>
    <row r="44" customFormat="false" ht="15" hidden="false" customHeight="false" outlineLevel="0" collapsed="false">
      <c r="A44" s="2" t="s">
        <v>120</v>
      </c>
      <c r="B44" s="2" t="s">
        <v>121</v>
      </c>
      <c r="C44" s="2"/>
      <c r="D44" s="2" t="s">
        <v>122</v>
      </c>
      <c r="E44" s="2"/>
      <c r="F44" s="3" t="n">
        <v>590</v>
      </c>
      <c r="G44" s="4" t="n">
        <v>25</v>
      </c>
      <c r="H44" s="4" t="str">
        <f aca="false">IF(G44&gt;0,"Yes","No")</f>
        <v>Yes</v>
      </c>
    </row>
    <row r="45" customFormat="false" ht="15" hidden="false" customHeight="false" outlineLevel="0" collapsed="false">
      <c r="A45" s="2" t="s">
        <v>123</v>
      </c>
      <c r="B45" s="2" t="s">
        <v>121</v>
      </c>
      <c r="C45" s="2"/>
      <c r="D45" s="2" t="s">
        <v>124</v>
      </c>
      <c r="E45" s="2"/>
      <c r="F45" s="3" t="n">
        <v>390</v>
      </c>
      <c r="G45" s="4" t="n">
        <v>40</v>
      </c>
      <c r="H45" s="4" t="str">
        <f aca="false">IF(G45&gt;0,"Yes","No")</f>
        <v>Yes</v>
      </c>
    </row>
    <row r="46" customFormat="false" ht="15" hidden="false" customHeight="false" outlineLevel="0" collapsed="false">
      <c r="A46" s="2" t="s">
        <v>125</v>
      </c>
      <c r="B46" s="2" t="s">
        <v>121</v>
      </c>
      <c r="C46" s="2"/>
      <c r="D46" s="2" t="s">
        <v>126</v>
      </c>
      <c r="E46" s="2"/>
      <c r="F46" s="3" t="n">
        <v>990</v>
      </c>
      <c r="G46" s="4" t="n">
        <v>0</v>
      </c>
      <c r="H46" s="4" t="str">
        <f aca="false">IF(G46&gt;0,"Yes","No")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127</v>
      </c>
    </row>
    <row r="3" customFormat="false" ht="15" hidden="false" customHeight="false" outlineLevel="0" collapsed="false">
      <c r="A3" s="2" t="s">
        <v>128</v>
      </c>
      <c r="B3" s="3" t="n">
        <f aca="false">COUNTA(Products!A2:A46)</f>
        <v>45</v>
      </c>
    </row>
    <row r="4" customFormat="false" ht="15" hidden="false" customHeight="false" outlineLevel="0" collapsed="false">
      <c r="A4" s="2" t="s">
        <v>129</v>
      </c>
      <c r="B4" s="3" t="n">
        <f aca="false">COUNTIF(Products!B2:B46,"Vinyl")</f>
        <v>39</v>
      </c>
    </row>
    <row r="5" customFormat="false" ht="15" hidden="false" customHeight="false" outlineLevel="0" collapsed="false">
      <c r="A5" s="2" t="s">
        <v>130</v>
      </c>
      <c r="B5" s="3" t="n">
        <f aca="false">COUNTIF(Products!B2:B46,"Record Player")</f>
        <v>3</v>
      </c>
    </row>
    <row r="6" customFormat="false" ht="15" hidden="false" customHeight="false" outlineLevel="0" collapsed="false">
      <c r="A6" s="2" t="s">
        <v>131</v>
      </c>
      <c r="B6" s="3" t="n">
        <f aca="false">COUNTIF(Products!B2:B46,"Accessory")</f>
        <v>3</v>
      </c>
    </row>
    <row r="7" customFormat="false" ht="15" hidden="false" customHeight="false" outlineLevel="0" collapsed="false">
      <c r="A7" s="2" t="s">
        <v>132</v>
      </c>
      <c r="B7" s="3" t="n">
        <f aca="false">COUNTIF(Products!G2:G46,0)</f>
        <v>3</v>
      </c>
    </row>
    <row r="8" customFormat="false" ht="15" hidden="false" customHeight="false" outlineLevel="0" collapsed="false">
      <c r="A8" s="2" t="s">
        <v>133</v>
      </c>
      <c r="B8" s="3" t="n">
        <f aca="false">SUM(Products!G2:G46)</f>
        <v>449</v>
      </c>
    </row>
    <row r="9" customFormat="false" ht="15" hidden="false" customHeight="false" outlineLevel="0" collapsed="false">
      <c r="A9" s="2" t="s">
        <v>134</v>
      </c>
      <c r="B9" s="3" t="n">
        <f aca="false">MIN(Products!F2:F46)</f>
        <v>390</v>
      </c>
    </row>
    <row r="10" customFormat="false" ht="15" hidden="false" customHeight="false" outlineLevel="0" collapsed="false">
      <c r="A10" s="2" t="s">
        <v>135</v>
      </c>
      <c r="B10" s="3" t="n">
        <f aca="false">MAX(Products!F2:F46)</f>
        <v>14990</v>
      </c>
    </row>
    <row r="12" customFormat="false" ht="15" hidden="false" customHeight="false" outlineLevel="0" collapsed="false">
      <c r="A12" s="6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2026-10-24T21:20:26Z</dcterms:created>
  <dc:creator>openpyxl</dc:creator>
  <dc:description/>
  <dc:language>en-US</dc:language>
  <cp:lastModifiedBy/>
  <dcterms:modified xsi:type="dcterms:W3CDTF">2026-10-24T21:20:26Z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